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mmande" sheetId="1" state="visible" r:id="rId1"/>
    <sheet name="Services" sheetId="2" state="visible" r:id="rId2"/>
    <sheet name="Contrôles" sheetId="3" state="visible" r:id="rId3"/>
    <sheet name="Câblage" sheetId="4" state="visible" r:id="rId4"/>
    <sheet name="Patch firmware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<sst xmlns="http://schemas.openxmlformats.org/spreadsheetml/2006/main" count="262" uniqueCount="262">
  <si>
    <t>#</t>
  </si>
  <si>
    <t>Fournisseur</t>
  </si>
  <si>
    <t>Article</t>
  </si>
  <si>
    <t>Détail</t>
  </si>
  <si>
    <t>Qté</t>
  </si>
  <si>
    <t xml:space="preserve">Prix affiché CHF</t>
  </si>
  <si>
    <t xml:space="preserve">Base TVA</t>
  </si>
  <si>
    <t xml:space="preserve">PU TTC CHF</t>
  </si>
  <si>
    <t xml:space="preserve">Total TTC CHF</t>
  </si>
  <si>
    <t xml:space="preserve">Statut vérification</t>
  </si>
  <si>
    <t>Lien</t>
  </si>
  <si>
    <t>Shopofthings</t>
  </si>
  <si>
    <t xml:space="preserve">LilyGo T-A7670E R2 avec GNSS</t>
  </si>
  <si>
    <t xml:space="preserve">ESP32-WROVER-E + modem A7670E + GNSS + support 18650 + BMS ; antennes LTE/GNSS, câble PH2.0 et barrettes inclus ; sans batterie ni SIM</t>
  </si>
  <si>
    <t>HT</t>
  </si>
  <si>
    <t xml:space="preserve">Vérifié : prix 64,07 HT ; 3 en stock CH</t>
  </si>
  <si>
    <t>https://shopofthings.ch/shop/prototyping/iot-module/lilygo-ttgo-t-sim-a7670e-esp32-lte-gps-dev-board/</t>
  </si>
  <si>
    <t>Bastelgarage</t>
  </si>
  <si>
    <t xml:space="preserve">Écran e-paper 2,9 pouces tricolore</t>
  </si>
  <si>
    <t xml:space="preserve">Waveshare 296×128 SPI noir/blanc/rouge ; câble 8 fils fourni</t>
  </si>
  <si>
    <t>TTC</t>
  </si>
  <si>
    <t>Vérifié</t>
  </si>
  <si>
    <t>https://www.bastelgarage.ch/296x128-2-9inch-3-farben-e-ink-display</t>
  </si>
  <si>
    <t xml:space="preserve">Accéléromètre / gyroscope MPU6050</t>
  </si>
  <si>
    <t xml:space="preserve">Module GY-521, art. 420350 ; 1 + 1 de rechange</t>
  </si>
  <si>
    <t xml:space="preserve">Vérifié : 9,90 ; Lagernd</t>
  </si>
  <si>
    <t>https://www.bastelgarage.ch/mpu-6050-3-achsen-beschleunigungssensor-mit-gyroskop</t>
  </si>
  <si>
    <t xml:space="preserve">Cellule Panasonic NCR18650GA 3300 mAh flat top</t>
  </si>
  <si>
    <t xml:space="preserve">Art. 423655 ; 65,3 mm ; 10 A ; non protégée, utilisée avec le BMS de la carte ; 1 + 2 de rechange</t>
  </si>
  <si>
    <t xml:space="preserve">Vérifié : 8,90 ; In Stock</t>
  </si>
  <si>
    <t>https://www.bastelgarage.ch/solar-lipo-1-105/li-ion-battery-3300mah-ncr18650ga-with-flat-top-panasonic</t>
  </si>
  <si>
    <t xml:space="preserve">Fils Dupont femelle-femelle 10 cm</t>
  </si>
  <si>
    <t xml:space="preserve">Art. 420618 ; lot de 20 ; 80 fils</t>
  </si>
  <si>
    <t xml:space="preserve">Vérifié : 1,90 ; Lagernd</t>
  </si>
  <si>
    <t>https://www.bastelgarage.ch/dupont-kabel-f-f-10cm-20-stuck</t>
  </si>
  <si>
    <t xml:space="preserve">Plaques de prototypage double face</t>
  </si>
  <si>
    <t xml:space="preserve">Lot de 4 plaques (tailles différentes)</t>
  </si>
  <si>
    <t xml:space="preserve">Vérifié : prix lu ; stock général du shop</t>
  </si>
  <si>
    <t>https://www.bastelgarage.ch/doppelseitige-prototyp-leiterplatte-platine-pcb-set-mit-4-stuck</t>
  </si>
  <si>
    <t xml:space="preserve">Assortiment de résistances 1/4 W</t>
  </si>
  <si>
    <t xml:space="preserve">600 pièces, 20 par valeur : 1 kohm pour les LED, 4,7 kohm si besoin pour l'I2C</t>
  </si>
  <si>
    <t>https://www.bastelgarage.ch/widerstand-set-600-stk-assortiert-1-4w-1-genauigkeit</t>
  </si>
  <si>
    <t>DigiKey</t>
  </si>
  <si>
    <t xml:space="preserve">LED bicolore rouge/vert cathode commune</t>
  </si>
  <si>
    <t xml:space="preserve">Kingbright WP59EGW, 3 broches, 5 mm diffusée (625 nm / 568 nm) ; prix liste 0,36 ; 10 pièces</t>
  </si>
  <si>
    <t>https://www.digikey.ch/de/products/detail/kingbright/WP59EGW/1747631</t>
  </si>
  <si>
    <t xml:space="preserve">Câble USB-C données 1 m</t>
  </si>
  <si>
    <t xml:space="preserve">Seulement si tu n'as pas déjà un câble données</t>
  </si>
  <si>
    <t>https://www.bastelgarage.ch/kabel-litzen/usb-kabel/1m-usb-3-0-kabel-usb-c-usb-c-schwarz</t>
  </si>
  <si>
    <t xml:space="preserve">Boîtier pile</t>
  </si>
  <si>
    <t xml:space="preserve">18650 Battery Compartment / Battery Holder with Connection Cable</t>
  </si>
  <si>
    <t>https://www.bastelgarage.ch/18650-battery-compartment-battery-holder-with-connection-cable?search=LiPo%20Battery</t>
  </si>
  <si>
    <t>Services</t>
  </si>
  <si>
    <t xml:space="preserve">Infomaniak / DR</t>
  </si>
  <si>
    <t xml:space="preserve">Site web / VPS / Carte SIM</t>
  </si>
  <si>
    <t xml:space="preserve">Total retenu : prix vérifiés (CHF TTC)</t>
  </si>
  <si>
    <t>Service</t>
  </si>
  <si>
    <t>Quantité</t>
  </si>
  <si>
    <t>Unité</t>
  </si>
  <si>
    <t xml:space="preserve">Prix CHF</t>
  </si>
  <si>
    <t xml:space="preserve">Total CHF</t>
  </si>
  <si>
    <t>Remarque</t>
  </si>
  <si>
    <t xml:space="preserve">Digital Republic</t>
  </si>
  <si>
    <t xml:space="preserve">Carte SIM data Flat 0.4 (nano)</t>
  </si>
  <si>
    <t xml:space="preserve">périodes de 30 jours</t>
  </si>
  <si>
    <t xml:space="preserve">CHF 4 TTC par 30 jours ; 0,4 Mbit/s descendant, 0,2 Mbit/s montant ; réseau Sunrise</t>
  </si>
  <si>
    <t>https://digitalrepublic.ch/fr/produit/flat-04/</t>
  </si>
  <si>
    <t>Infomaniak</t>
  </si>
  <si>
    <t xml:space="preserve">VPS Lite 1 vCPU / 2 Go / 20 Go</t>
  </si>
  <si>
    <t xml:space="preserve">mois (engagement annuel)</t>
  </si>
  <si>
    <t xml:space="preserve">Prix affiché dès CHF 2.70 par mois ; TVA à confirmer au panier</t>
  </si>
  <si>
    <t>https://www.infomaniak.com/fr/hebergement/vps-lite</t>
  </si>
  <si>
    <t xml:space="preserve">Nom de domaine .ch</t>
  </si>
  <si>
    <t>an</t>
  </si>
  <si>
    <t xml:space="preserve">Dès CHF 1.63 affiché ; prix exact à confirmer. Sous-domaine existant possible sans achat</t>
  </si>
  <si>
    <t>https://www.infomaniak.com/fr/domaines/tarifs/ch</t>
  </si>
  <si>
    <t>Contrôle</t>
  </si>
  <si>
    <t>Résultat</t>
  </si>
  <si>
    <t>Action</t>
  </si>
  <si>
    <t>Source</t>
  </si>
  <si>
    <t xml:space="preserve">Tensions logiques</t>
  </si>
  <si>
    <t>OK</t>
  </si>
  <si>
    <t xml:space="preserve">ESP32, écran e-paper et GY-521 fonctionnent en 3,3 V ; les signaux écran/MPU6050 sont en 3,3 V.</t>
  </si>
  <si>
    <t xml:space="preserve">Alimenter les modules depuis le 3V3 de la carte.</t>
  </si>
  <si>
    <t xml:space="preserve">Fiches Bastelgarage ; carte</t>
  </si>
  <si>
    <t xml:space="preserve">Pins LED</t>
  </si>
  <si>
    <t xml:space="preserve">LED rouge et verte à environ 2 V avec 1 kohm sous 3,3 V : environ 1 mA par voie, très inférieur à la limite d'un GPIO.</t>
  </si>
  <si>
    <t xml:space="preserve">Une résistance par voie ; cathode commune au GND.</t>
  </si>
  <si>
    <t>Calcul</t>
  </si>
  <si>
    <t xml:space="preserve">Pins modem internes</t>
  </si>
  <si>
    <t xml:space="preserve">TX 26, RX 27, PWRKEY 4, RESET 5, POWERON 12, DTR 25, RING 33, ADC batterie 35 : aucun n'est réutilisé.</t>
  </si>
  <si>
    <t xml:space="preserve">Ne pas les utiliser pour d'autres modules.</t>
  </si>
  <si>
    <t xml:space="preserve">DeepWiki LilyGo</t>
  </si>
  <si>
    <t xml:space="preserve">GPIO36 dans l'ancienne proposition</t>
  </si>
  <si>
    <t xml:space="preserve">À corriger</t>
  </si>
  <si>
    <t xml:space="preserve">GPIO36 est l'ADC solaire sur les versions V1.4 et plus : l'INT du MPU6050 ne doit pas y être raccordée.</t>
  </si>
  <si>
    <t xml:space="preserve">INT MPU6050 sur GPIO39.</t>
  </si>
  <si>
    <t xml:space="preserve">DeepWiki LilyGo ; utilities.h LilyGo</t>
  </si>
  <si>
    <t xml:space="preserve">GPIO33 dans l'ancienne proposition</t>
  </si>
  <si>
    <t xml:space="preserve">GPIO33 reçoit RING du modem : l'utiliser comme SCL ferait entrer en conflit deux signaux.</t>
  </si>
  <si>
    <t xml:space="preserve">I2C sur GPIO21 (SDA) et GPIO22 (SCL).</t>
  </si>
  <si>
    <t xml:space="preserve">Pins du connecteur de la carte</t>
  </si>
  <si>
    <t xml:space="preserve">À valider</t>
  </si>
  <si>
    <t xml:space="preserve">Les GPIO 13, 14, 15, 18, 19, 21, 22, 23, 32, 34 et 39 apparaissent dans le tableau du SimShield de la carte : c'est un indice qu'ils sont accessibles, pas une preuve.</t>
  </si>
  <si>
    <t xml:space="preserve">Confirmer avec le schéma ou le brochage officiel de ta révision.</t>
  </si>
  <si>
    <t xml:space="preserve">Entrées seules</t>
  </si>
  <si>
    <t xml:space="preserve">GPIO34 (BUSY de l'écran) et GPIO39 (INT) sont des entrées seules : aucune sortie n'y est attendue. GPIO39 peut réveiller le deep sleep.</t>
  </si>
  <si>
    <t xml:space="preserve">Aucune pull-up interne : le MPU6050 pilote INT en push-pull.</t>
  </si>
  <si>
    <t xml:space="preserve">Brochage ESP32</t>
  </si>
  <si>
    <t xml:space="preserve">Carte SD</t>
  </si>
  <si>
    <t xml:space="preserve">À respecter</t>
  </si>
  <si>
    <t xml:space="preserve">Les lignes 13/14/15/32 sont des lignes SD de la carte : ne pas insérer de microSD. GPIO2 est aussi utilisé par la SD et gêne l'upload si une carte est présente.</t>
  </si>
  <si>
    <t xml:space="preserve">Pas de microSD pendant le prototype.</t>
  </si>
  <si>
    <t xml:space="preserve">GPIO15 au démarrage</t>
  </si>
  <si>
    <t xml:space="preserve">OK avec réserve</t>
  </si>
  <si>
    <t xml:space="preserve">GPIO15 est une broche de démarrage. Une LED avec 1 kohm peut la tirer vers le bas et couper le journal de démarrage ROM, sans empêcher le démarrage.</t>
  </si>
  <si>
    <t xml:space="preserve">Surveiller le premier boot ; changer de broche si problème.</t>
  </si>
  <si>
    <t xml:space="preserve">Pins PSRAM</t>
  </si>
  <si>
    <t xml:space="preserve">GPIO16 et 17 sont réservés à la PSRAM du module WROVER : aucun signal n'y est raccordé.</t>
  </si>
  <si>
    <t xml:space="preserve">Ne pas les utiliser.</t>
  </si>
  <si>
    <t xml:space="preserve">Fiche LilyGo</t>
  </si>
  <si>
    <t xml:space="preserve">Bus SPI écran</t>
  </si>
  <si>
    <t xml:space="preserve">Un seul périphérique sur SCK 18 / MOSI 23 ; MISO non utilisé (GPIO19 devient DC).</t>
  </si>
  <si>
    <t xml:space="preserve">SPI.begin(18, -1, 23, 32) dans le firmware.</t>
  </si>
  <si>
    <t>Montage</t>
  </si>
  <si>
    <t xml:space="preserve">Pull-up I2C du GY-521</t>
  </si>
  <si>
    <t xml:space="preserve">Je n'ai pas vérifié la présence de résistances de rappel sur le module. Sans elles le bus peut échouer.</t>
  </si>
  <si>
    <t xml:space="preserve">Mesurer avec un multimètre ou ajouter 4,7 kohm vers 3V3 sur SDA et SCL.</t>
  </si>
  <si>
    <t xml:space="preserve">Fiche Bastelgarage non détaillée</t>
  </si>
  <si>
    <t xml:space="preserve">Batterie et chargeur</t>
  </si>
  <si>
    <t xml:space="preserve">Cellule Li-ion 1S de tension de pleine charge 4,2 V. Ne pas utiliser de LiFePO4 : la carte ne le gère pas.</t>
  </si>
  <si>
    <t xml:space="preserve">Garder NCR18650GA, pas d'autre chimie.</t>
  </si>
  <si>
    <t xml:space="preserve">DeepWiki LilyGo ; Bastelgarage</t>
  </si>
  <si>
    <t xml:space="preserve">BMS de la carte</t>
  </si>
  <si>
    <t xml:space="preserve">Une source non officielle indique un DW06D : surtension 4,30 V, sous-tension 2,5 V, courant de décharge 3 A pour les cartes ESP32.</t>
  </si>
  <si>
    <t xml:space="preserve">Confirmer sur le schéma officiel avant usage durable.</t>
  </si>
  <si>
    <t xml:space="preserve">Courant du modem</t>
  </si>
  <si>
    <t xml:space="preserve">Le modem peut tirer 2 A en pointe ; la cellule supporte 10 A, mais la coupure de 3 A laisse peu de marge avec l'ESP32.</t>
  </si>
  <si>
    <t xml:space="preserve">Tester avec un amperemètre à pointes et une SIM active.</t>
  </si>
  <si>
    <t xml:space="preserve">SIMCom ; DeepWiki LilyGo</t>
  </si>
  <si>
    <t xml:space="preserve">Batterie protégée longue</t>
  </si>
  <si>
    <t xml:space="preserve">Non retenu</t>
  </si>
  <si>
    <t xml:space="preserve">Une cellule protégée mesure environ 69 mm ; certains supports 18650 n'acceptent que 68,9 mm. Je n'ai pas la longueur utile du support de la carte.</t>
  </si>
  <si>
    <t xml:space="preserve">Rester sur la cellule nue de 65,3 mm et le BMS de la carte, sauf mesure favorable.</t>
  </si>
  <si>
    <t xml:space="preserve">Bastelgarage ; discussion supports</t>
  </si>
  <si>
    <t>Température</t>
  </si>
  <si>
    <t xml:space="preserve">À risque</t>
  </si>
  <si>
    <t xml:space="preserve">Charge de la cellule 10 à 45 °C selon la fiche Bastelgarage ; aucune protection thermique documentée sur la carte. Une voiture dépasse ces plages.</t>
  </si>
  <si>
    <t xml:space="preserve">Tests surveillés ; retirer la cellule en fin de test.</t>
  </si>
  <si>
    <t xml:space="preserve">Connecteur solaire</t>
  </si>
  <si>
    <t>Danger</t>
  </si>
  <si>
    <t xml:space="preserve">Entrée 5 à 6 V pour panneau solaire, pas pour une LiPo.</t>
  </si>
  <si>
    <t xml:space="preserve">Ne rien brancher dessus.</t>
  </si>
  <si>
    <t xml:space="preserve">Charge USB-C</t>
  </si>
  <si>
    <t xml:space="preserve">Entrée 4,5 à 5,5 V, 500 mA partagés. Utiliser le port ESP-USB et pas Modem-USB. Au premier branchement de la cellule, brancher d'abord l'USB-C pour activer le BMS.</t>
  </si>
  <si>
    <t xml:space="preserve">Suivre la procédure.</t>
  </si>
  <si>
    <t xml:space="preserve">Bandes LTE / réseau</t>
  </si>
  <si>
    <t xml:space="preserve">La carte supporte B1/B3/B5/B8/B20 ; Sunrise utilise B3/B7/B20/B28. Bandes communes : B3 et B20. La 3G Sunrise est coupée.</t>
  </si>
  <si>
    <t xml:space="preserve">Vérifier la couverture à Sion avec la SIM.</t>
  </si>
  <si>
    <t xml:space="preserve">Documentation LilyGo ; Band Atlas ; Sunrise</t>
  </si>
  <si>
    <t>SIM</t>
  </si>
  <si>
    <t xml:space="preserve">La carte a une SIM nano ; Digital Republic Flat 0.4 utilise APN internet.</t>
  </si>
  <si>
    <t xml:space="preserve">Choisir le format nano.</t>
  </si>
  <si>
    <t xml:space="preserve">LilyGo ; Digital Republic</t>
  </si>
  <si>
    <t xml:space="preserve">Antenne GNSS</t>
  </si>
  <si>
    <t xml:space="preserve">Antenne active obligatoire ; le colis Shopofthings indique une antenne GNSS. Elle ne fonctionne pas sous un couvercle métallique.</t>
  </si>
  <si>
    <t xml:space="preserve">Placer vers le ciel dans boîtier plastique.</t>
  </si>
  <si>
    <t xml:space="preserve">DeepWiki LilyGo ; Shopofthings</t>
  </si>
  <si>
    <t xml:space="preserve">Version de la carte</t>
  </si>
  <si>
    <t xml:space="preserve">À contrôler</t>
  </si>
  <si>
    <t xml:space="preserve">Une variante A7670E existe sans GNSS ; commander la version avec GPS et tester AT+CGNSSPWR=1.</t>
  </si>
  <si>
    <t xml:space="preserve">Vérifier à la réception.</t>
  </si>
  <si>
    <t xml:space="preserve">Revendeurs LilyGo</t>
  </si>
  <si>
    <t xml:space="preserve">Firmware actuel</t>
  </si>
  <si>
    <t xml:space="preserve">À patcher</t>
  </si>
  <si>
    <t xml:space="preserve">Le code livré auparavant utilise encore GPIO32/33/36 pour l'I2C/INT, 22/32/34 sur l'écran et trois broches LED 13/14/15.</t>
  </si>
  <si>
    <t xml:space="preserve">Appliquer l'onglet Patch firmware, puis compiler avec PlatformIO.</t>
  </si>
  <si>
    <t xml:space="preserve">Contrôle de cohérence</t>
  </si>
  <si>
    <t>Module</t>
  </si>
  <si>
    <t xml:space="preserve">Signal module</t>
  </si>
  <si>
    <t xml:space="preserve">Broche LilyGo</t>
  </si>
  <si>
    <t xml:space="preserve">Couleur schéma</t>
  </si>
  <si>
    <t>E-paper</t>
  </si>
  <si>
    <t>VCC</t>
  </si>
  <si>
    <t>3V3</t>
  </si>
  <si>
    <t>Rouge</t>
  </si>
  <si>
    <t xml:space="preserve">Fil gris Waveshare</t>
  </si>
  <si>
    <t>GND</t>
  </si>
  <si>
    <t>Noir</t>
  </si>
  <si>
    <t xml:space="preserve">Fil marron</t>
  </si>
  <si>
    <t>DIN</t>
  </si>
  <si>
    <t>GPIO23</t>
  </si>
  <si>
    <t>Vert</t>
  </si>
  <si>
    <t>MOSI</t>
  </si>
  <si>
    <t>CLK</t>
  </si>
  <si>
    <t>GPIO18</t>
  </si>
  <si>
    <t>SCK</t>
  </si>
  <si>
    <t>CS</t>
  </si>
  <si>
    <t>GPIO32</t>
  </si>
  <si>
    <t>DC</t>
  </si>
  <si>
    <t>GPIO19</t>
  </si>
  <si>
    <t>Bleu</t>
  </si>
  <si>
    <t>RST</t>
  </si>
  <si>
    <t>GPIO13</t>
  </si>
  <si>
    <t>BUSY</t>
  </si>
  <si>
    <t>GPIO34</t>
  </si>
  <si>
    <t xml:space="preserve">Entrée seule</t>
  </si>
  <si>
    <t>MPU6050</t>
  </si>
  <si>
    <t>AD0</t>
  </si>
  <si>
    <t xml:space="preserve">Adresse 0x68</t>
  </si>
  <si>
    <t>SDA</t>
  </si>
  <si>
    <t>GPIO21</t>
  </si>
  <si>
    <t>I2C</t>
  </si>
  <si>
    <t>SCL</t>
  </si>
  <si>
    <t>GPIO22</t>
  </si>
  <si>
    <t>INT</t>
  </si>
  <si>
    <t>GPIO39</t>
  </si>
  <si>
    <t xml:space="preserve">Entrée seule RTC</t>
  </si>
  <si>
    <t xml:space="preserve">LED bicolore</t>
  </si>
  <si>
    <t xml:space="preserve">Rouge via 1 kohm</t>
  </si>
  <si>
    <t>GPIO14</t>
  </si>
  <si>
    <t>Orange</t>
  </si>
  <si>
    <t xml:space="preserve">Vert via 1 kohm</t>
  </si>
  <si>
    <t>GPIO15</t>
  </si>
  <si>
    <t xml:space="preserve">Cathode commune</t>
  </si>
  <si>
    <t xml:space="preserve">Broche centrale selon la LED, à vérifier</t>
  </si>
  <si>
    <t>Batterie</t>
  </si>
  <si>
    <t xml:space="preserve">18650 NCR18650GA</t>
  </si>
  <si>
    <t xml:space="preserve">Support de la carte</t>
  </si>
  <si>
    <t xml:space="preserve">+ vers le marquage + du support</t>
  </si>
  <si>
    <t>Antennes</t>
  </si>
  <si>
    <t xml:space="preserve">LTE et GNSS</t>
  </si>
  <si>
    <t xml:space="preserve">Connecteurs U.FL</t>
  </si>
  <si>
    <t xml:space="preserve">Avant mise sous tension</t>
  </si>
  <si>
    <t>Fichier</t>
  </si>
  <si>
    <t xml:space="preserve">Ancienne valeur</t>
  </si>
  <si>
    <t xml:space="preserve">Nouvelle valeur</t>
  </si>
  <si>
    <t>Pourquoi</t>
  </si>
  <si>
    <t>esp32/src/config.example.h</t>
  </si>
  <si>
    <t xml:space="preserve">EPD_CS 19 / EPD_DC 21 / EPD_RST 22 / EPD_BUSY 34</t>
  </si>
  <si>
    <t xml:space="preserve">EPD_CS 32 / EPD_DC 19 / EPD_RST 13 / EPD_BUSY 34</t>
  </si>
  <si>
    <t xml:space="preserve">Libérer GPIO21/22 pour l'I2C</t>
  </si>
  <si>
    <t xml:space="preserve">MPU_SDA 32 / MPU_SCL 33 / MPU_INT 36</t>
  </si>
  <si>
    <t xml:space="preserve">MPU_SDA 21 / MPU_SCL 22 / MPU_INT 39</t>
  </si>
  <si>
    <t xml:space="preserve">Éviter RING et l'ADC solaire</t>
  </si>
  <si>
    <t xml:space="preserve">LED_R 13 / LED_G 14 / LED_B 15</t>
  </si>
  <si>
    <t xml:space="preserve">LED_R 14 / LED_G 15 / pas de LED_B</t>
  </si>
  <si>
    <t xml:space="preserve">LED bicolore à deux voies</t>
  </si>
  <si>
    <t>esp32/src/main.cpp</t>
  </si>
  <si>
    <t xml:space="preserve">pinMode/gpio_hold avec LED_B</t>
  </si>
  <si>
    <t xml:space="preserve">Retirer LED_B partout, led() met seulement R et G</t>
  </si>
  <si>
    <t xml:space="preserve">LED_B n'existe plus</t>
  </si>
  <si>
    <t>SPI.begin(EPD_SCK,-1,EPD_MOSI,EPD_CS)</t>
  </si>
  <si>
    <t xml:space="preserve">Inchangé avec les nouvelles valeurs de config</t>
  </si>
  <si>
    <t xml:space="preserve">CS = GPIO32</t>
  </si>
  <si>
    <t>esp_sleep_enable_ext0_wakeup(MPU_INT,1)</t>
  </si>
  <si>
    <t xml:space="preserve">Inchangé avec MPU_INT=39</t>
  </si>
  <si>
    <t xml:space="preserve">GPIO39 supporte le réveil RTC</t>
  </si>
  <si>
    <t>docs/CABLAGE.md</t>
  </si>
  <si>
    <t xml:space="preserve">Ancien tableau</t>
  </si>
  <si>
    <t xml:space="preserve">Utiliser l'onglet Câblage et le schéma PNG/PDF</t>
  </si>
  <si>
    <t>Cohérence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</si>
</sst>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2.000000"/>
      <color theme="10"/>
      <name val="Calibri"/>
      <scheme val="minor"/>
    </font>
    <font>
      <b/>
      <color indexed="65"/>
    </font>
    <font>
      <u/>
      <sz val="11.000000"/>
      <color theme="10"/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7578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4B084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7">
    <xf fontId="0" fillId="0" borderId="0" numFmtId="0" xfId="0" quotePrefix="0" pivotButton="0"/>
    <xf fontId="2" fillId="2" borderId="0" numFmtId="0" xfId="0" applyFont="1" applyFill="1" applyAlignment="1" quotePrefix="0" pivotButton="0">
      <alignment wrapText="1"/>
    </xf>
    <xf fontId="0" fillId="0" borderId="0" numFmtId="0" xfId="0" applyAlignment="1" quotePrefix="0" pivotButton="0">
      <alignment vertical="top" wrapText="1"/>
    </xf>
    <xf fontId="0" fillId="0" borderId="0" numFmtId="4" xfId="0" applyNumberFormat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1" fillId="0" borderId="0" numFmtId="0" xfId="1" applyFont="1" applyAlignment="1" quotePrefix="0" pivotButton="0">
      <alignment vertical="top" wrapText="1"/>
    </xf>
    <xf fontId="0" fillId="3" borderId="0" numFmtId="0" xfId="0" applyFill="1" applyAlignment="1" quotePrefix="0" pivotButton="0">
      <alignment vertical="top" wrapText="1"/>
    </xf>
    <xf fontId="0" fillId="3" borderId="0" numFmtId="4" xfId="0" applyNumberFormat="1" applyFill="1" applyAlignment="1" quotePrefix="0" pivotButton="0">
      <alignment vertical="top" wrapText="1"/>
    </xf>
    <xf fontId="0" fillId="3" borderId="0" numFmtId="0" xfId="0" applyFill="1" applyAlignment="1" quotePrefix="0" pivotButton="0">
      <alignment vertical="top" wrapText="1"/>
    </xf>
    <xf fontId="1" fillId="3" borderId="0" numFmtId="0" xfId="1" applyFont="1" applyFill="1" applyAlignment="1" quotePrefix="0" pivotButton="0">
      <alignment vertical="top" wrapText="1"/>
    </xf>
    <xf fontId="3" fillId="3" borderId="0" numFmtId="0" xfId="1" applyFont="1" applyFill="1" applyAlignment="1" quotePrefix="0" pivotButton="0">
      <alignment vertical="top" wrapText="1"/>
    </xf>
    <xf fontId="4" fillId="0" borderId="0" numFmtId="0" xfId="0" applyFont="1" applyAlignment="1" quotePrefix="0" pivotButton="0">
      <alignment vertical="top" wrapText="1"/>
    </xf>
    <xf fontId="4" fillId="0" borderId="0" numFmtId="4" xfId="0" applyNumberFormat="1" applyFont="1" applyAlignment="1" quotePrefix="0" pivotButton="0">
      <alignment vertical="top" wrapText="1"/>
    </xf>
    <xf fontId="0" fillId="4" borderId="0" numFmtId="0" xfId="0" applyFill="1" applyAlignment="1" quotePrefix="0" pivotButton="0">
      <alignment vertical="top" wrapText="1"/>
    </xf>
    <xf fontId="0" fillId="5" borderId="0" numFmtId="0" xfId="0" applyFill="1" applyAlignment="1" quotePrefix="0" pivotButton="0">
      <alignment vertical="top" wrapText="1"/>
    </xf>
    <xf fontId="0" fillId="6" borderId="0" numFmtId="0" xfId="0" applyFill="1" applyAlignment="1" quotePrefix="0" pivotButton="0">
      <alignment vertical="top" wrapText="1"/>
    </xf>
    <xf fontId="0" fillId="7" borderId="0" numFmtId="0" xfId="0" applyFill="1" applyAlignment="1" quotePrefix="0" pivotButton="0">
      <alignment vertical="top" wrapTex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ommande" ref="A1:K12" headerRowCount="1">
  <autoFilter ref="A1:K12"/>
  <tableColumns count="11">
    <tableColumn id="1" name="#"/>
    <tableColumn id="2" name="Fournisseur"/>
    <tableColumn id="3" name="Article"/>
    <tableColumn id="4" name="Détail"/>
    <tableColumn id="5" name="Qté"/>
    <tableColumn id="6" name="Prix affiché CHF"/>
    <tableColumn id="7" name="Base TVA"/>
    <tableColumn id="8" name="PU TTC CHF"/>
    <tableColumn id="9" name="Total TTC CHF"/>
    <tableColumn id="10" name="Statut vérification"/>
    <tableColumn id="11" name="Lien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hopofthings.ch/shop/prototyping/iot-module/lilygo-ttgo-t-sim-a7670e-esp32-lte-gps-dev-board/" TargetMode="External"/><Relationship  Id="rId10" Type="http://schemas.openxmlformats.org/officeDocument/2006/relationships/hyperlink" Target="https://www.bastelgarage.ch/18650-battery-compartment-battery-holder-with-connection-cable?search=LiPo Battery" TargetMode="External"/><Relationship  Id="rId11" Type="http://schemas.openxmlformats.org/officeDocument/2006/relationships/table" Target="../tables/table1.xml"/><Relationship  Id="rId2" Type="http://schemas.openxmlformats.org/officeDocument/2006/relationships/hyperlink" Target="https://www.bastelgarage.ch/296x128-2-9inch-3-farben-e-ink-display" TargetMode="External"/><Relationship  Id="rId3" Type="http://schemas.openxmlformats.org/officeDocument/2006/relationships/hyperlink" Target="https://www.bastelgarage.ch/mpu-6050-3-achsen-beschleunigungssensor-mit-gyroskop" TargetMode="External"/><Relationship  Id="rId4" Type="http://schemas.openxmlformats.org/officeDocument/2006/relationships/hyperlink" Target="https://www.bastelgarage.ch/solar-lipo-1-105/li-ion-battery-3300mah-ncr18650ga-with-flat-top-panasonic" TargetMode="External"/><Relationship  Id="rId5" Type="http://schemas.openxmlformats.org/officeDocument/2006/relationships/hyperlink" Target="https://www.bastelgarage.ch/dupont-kabel-f-f-10cm-20-stuck" TargetMode="External"/><Relationship  Id="rId6" Type="http://schemas.openxmlformats.org/officeDocument/2006/relationships/hyperlink" Target="https://www.bastelgarage.ch/doppelseitige-prototyp-leiterplatte-platine-pcb-set-mit-4-stuck" TargetMode="External"/><Relationship  Id="rId7" Type="http://schemas.openxmlformats.org/officeDocument/2006/relationships/hyperlink" Target="https://www.bastelgarage.ch/widerstand-set-600-stk-assortiert-1-4w-1-genauigkeit" TargetMode="External"/><Relationship  Id="rId8" Type="http://schemas.openxmlformats.org/officeDocument/2006/relationships/hyperlink" Target="https://www.digikey.ch/de/products/detail/kingbright/WP59EGW/1747631" TargetMode="External"/><Relationship  Id="rId9" Type="http://schemas.openxmlformats.org/officeDocument/2006/relationships/hyperlink" Target="https://www.bastelgarage.ch/kabel-litzen/usb-kabel/1m-usb-3-0-kabel-usb-c-usb-c-schwarz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digitalrepublic.ch/fr/produit/flat-04/" TargetMode="External"/><Relationship  Id="rId2" Type="http://schemas.openxmlformats.org/officeDocument/2006/relationships/hyperlink" Target="https://www.infomaniak.com/fr/hebergement/vps-lite" TargetMode="External"/><Relationship  Id="rId3" Type="http://schemas.openxmlformats.org/officeDocument/2006/relationships/hyperlink" Target="https://www.infomaniak.com/fr/domaines/tarifs/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8" defaultRowHeight="14.25"/>
  <cols>
    <col customWidth="1" min="1" max="1" width="5"/>
    <col customWidth="1" min="2" max="2" width="17"/>
    <col customWidth="1" min="3" max="3" width="38"/>
    <col customWidth="1" min="4" max="4" width="70"/>
    <col customWidth="1" min="5" max="5" width="7"/>
    <col customWidth="1" min="6" max="6" width="15"/>
    <col customWidth="1" min="7" max="7" width="10"/>
    <col customWidth="1" min="8" max="8" width="14"/>
    <col customWidth="1" min="9" max="9" width="15"/>
    <col customWidth="1" min="10" max="10" width="52"/>
    <col customWidth="1" min="11" max="11" width="80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3">
      <c r="A2" s="2">
        <v>1</v>
      </c>
      <c r="B2" s="2" t="s">
        <v>11</v>
      </c>
      <c r="C2" s="2" t="s">
        <v>12</v>
      </c>
      <c r="D2" s="2" t="s">
        <v>13</v>
      </c>
      <c r="E2" s="2">
        <v>1</v>
      </c>
      <c r="F2" s="3">
        <v>64.069999999999993</v>
      </c>
      <c r="G2" s="2" t="s">
        <v>14</v>
      </c>
      <c r="H2" s="3">
        <f t="shared" ref="H2:H9" si="0">IF(F2="","",IF(G2="HT",ROUND(F2*1.081,2),F2))</f>
        <v>69.260000000000005</v>
      </c>
      <c r="I2" s="3">
        <f t="shared" ref="I2:I9" si="1">IF(H2="","",ROUND(E2*H2,2))</f>
        <v>69.260000000000005</v>
      </c>
      <c r="J2" s="4" t="s">
        <v>15</v>
      </c>
      <c r="K2" s="5" t="s">
        <v>16</v>
      </c>
    </row>
    <row r="3" ht="28.5">
      <c r="A3" s="6">
        <v>2</v>
      </c>
      <c r="B3" s="6" t="s">
        <v>17</v>
      </c>
      <c r="C3" s="6" t="s">
        <v>18</v>
      </c>
      <c r="D3" s="6" t="s">
        <v>19</v>
      </c>
      <c r="E3" s="6">
        <v>2</v>
      </c>
      <c r="F3" s="7">
        <v>25.899999999999999</v>
      </c>
      <c r="G3" s="6" t="s">
        <v>20</v>
      </c>
      <c r="H3" s="7">
        <f t="shared" si="0"/>
        <v>25.899999999999999</v>
      </c>
      <c r="I3" s="7">
        <f t="shared" si="1"/>
        <v>51.799999999999997</v>
      </c>
      <c r="J3" s="8" t="s">
        <v>21</v>
      </c>
      <c r="K3" s="9" t="s">
        <v>22</v>
      </c>
    </row>
    <row r="4" ht="33">
      <c r="A4" s="2">
        <v>3</v>
      </c>
      <c r="B4" s="2" t="s">
        <v>17</v>
      </c>
      <c r="C4" s="2" t="s">
        <v>23</v>
      </c>
      <c r="D4" s="2" t="s">
        <v>24</v>
      </c>
      <c r="E4" s="2">
        <v>2</v>
      </c>
      <c r="F4" s="3">
        <v>9.9000000000000004</v>
      </c>
      <c r="G4" s="2" t="s">
        <v>20</v>
      </c>
      <c r="H4" s="3">
        <v>10.9</v>
      </c>
      <c r="I4" s="3">
        <f t="shared" si="1"/>
        <v>21.800000000000001</v>
      </c>
      <c r="J4" s="4" t="s">
        <v>25</v>
      </c>
      <c r="K4" s="5" t="s">
        <v>26</v>
      </c>
    </row>
    <row r="5" ht="33">
      <c r="A5" s="2">
        <v>4</v>
      </c>
      <c r="B5" s="2" t="s">
        <v>17</v>
      </c>
      <c r="C5" s="2" t="s">
        <v>27</v>
      </c>
      <c r="D5" s="4" t="s">
        <v>28</v>
      </c>
      <c r="E5" s="2">
        <v>3</v>
      </c>
      <c r="F5" s="3">
        <v>8.9000000000000004</v>
      </c>
      <c r="G5" s="2" t="s">
        <v>20</v>
      </c>
      <c r="H5" s="3">
        <f t="shared" si="0"/>
        <v>8.9000000000000004</v>
      </c>
      <c r="I5" s="3">
        <f t="shared" si="1"/>
        <v>26.699999999999999</v>
      </c>
      <c r="J5" s="2" t="s">
        <v>29</v>
      </c>
      <c r="K5" s="5" t="s">
        <v>30</v>
      </c>
    </row>
    <row r="6" ht="16.5">
      <c r="A6" s="2">
        <v>5</v>
      </c>
      <c r="B6" s="2" t="s">
        <v>17</v>
      </c>
      <c r="C6" s="2" t="s">
        <v>31</v>
      </c>
      <c r="D6" s="4" t="s">
        <v>32</v>
      </c>
      <c r="E6" s="2">
        <v>4</v>
      </c>
      <c r="F6" s="3">
        <v>1.8999999999999999</v>
      </c>
      <c r="G6" s="2" t="s">
        <v>20</v>
      </c>
      <c r="H6" s="3">
        <f t="shared" si="0"/>
        <v>1.8999999999999999</v>
      </c>
      <c r="I6" s="3">
        <f t="shared" si="1"/>
        <v>7.5999999999999996</v>
      </c>
      <c r="J6" s="2" t="s">
        <v>33</v>
      </c>
      <c r="K6" s="5" t="s">
        <v>34</v>
      </c>
    </row>
    <row r="7" ht="33">
      <c r="A7" s="2">
        <v>6</v>
      </c>
      <c r="B7" s="2" t="s">
        <v>17</v>
      </c>
      <c r="C7" s="2" t="s">
        <v>35</v>
      </c>
      <c r="D7" s="2" t="s">
        <v>36</v>
      </c>
      <c r="E7" s="2">
        <v>1</v>
      </c>
      <c r="F7" s="3">
        <v>7.9000000000000004</v>
      </c>
      <c r="G7" s="2" t="s">
        <v>20</v>
      </c>
      <c r="H7" s="3">
        <f t="shared" si="0"/>
        <v>7.9000000000000004</v>
      </c>
      <c r="I7" s="3">
        <f t="shared" si="1"/>
        <v>7.9000000000000004</v>
      </c>
      <c r="J7" s="2" t="s">
        <v>37</v>
      </c>
      <c r="K7" s="5" t="s">
        <v>38</v>
      </c>
    </row>
    <row r="8" ht="28.5">
      <c r="A8" s="6">
        <v>7</v>
      </c>
      <c r="B8" s="6" t="s">
        <v>17</v>
      </c>
      <c r="C8" s="6" t="s">
        <v>39</v>
      </c>
      <c r="D8" s="6" t="s">
        <v>40</v>
      </c>
      <c r="E8" s="6">
        <v>1</v>
      </c>
      <c r="F8" s="7">
        <v>9.9000000000000004</v>
      </c>
      <c r="G8" s="6" t="s">
        <v>20</v>
      </c>
      <c r="H8" s="7">
        <f t="shared" si="0"/>
        <v>9.9000000000000004</v>
      </c>
      <c r="I8" s="7">
        <f t="shared" si="1"/>
        <v>9.9000000000000004</v>
      </c>
      <c r="J8" s="8" t="s">
        <v>21</v>
      </c>
      <c r="K8" s="9" t="s">
        <v>41</v>
      </c>
    </row>
    <row r="9" ht="28.5">
      <c r="A9" s="6">
        <v>8</v>
      </c>
      <c r="B9" s="6" t="s">
        <v>42</v>
      </c>
      <c r="C9" s="6" t="s">
        <v>43</v>
      </c>
      <c r="D9" s="6" t="s">
        <v>44</v>
      </c>
      <c r="E9" s="6">
        <v>10</v>
      </c>
      <c r="F9" s="7">
        <v>0.35999999999999999</v>
      </c>
      <c r="G9" s="6" t="s">
        <v>14</v>
      </c>
      <c r="H9" s="7">
        <f t="shared" si="0"/>
        <v>0.39000000000000001</v>
      </c>
      <c r="I9" s="7">
        <f t="shared" si="1"/>
        <v>3.8999999999999999</v>
      </c>
      <c r="J9" s="8" t="s">
        <v>21</v>
      </c>
      <c r="K9" s="10" t="s">
        <v>45</v>
      </c>
    </row>
    <row r="10" ht="16.5">
      <c r="A10" s="6">
        <v>9</v>
      </c>
      <c r="B10" s="6" t="s">
        <v>17</v>
      </c>
      <c r="C10" s="6" t="s">
        <v>46</v>
      </c>
      <c r="D10" s="6" t="s">
        <v>47</v>
      </c>
      <c r="E10" s="6">
        <v>1</v>
      </c>
      <c r="F10" s="7">
        <v>9.9000000000000004</v>
      </c>
      <c r="G10" s="6" t="s">
        <v>20</v>
      </c>
      <c r="H10" s="7">
        <v>11.9</v>
      </c>
      <c r="I10" s="7">
        <f t="shared" ref="I10:I11" si="2">IF(H10="","",ROUND(E10*H10,2))</f>
        <v>11.9</v>
      </c>
      <c r="J10" s="6" t="s">
        <v>21</v>
      </c>
      <c r="K10" s="10" t="s">
        <v>48</v>
      </c>
    </row>
    <row r="11" ht="28.5">
      <c r="A11" s="6">
        <v>10</v>
      </c>
      <c r="B11" s="6" t="s">
        <v>17</v>
      </c>
      <c r="C11" s="8" t="s">
        <v>49</v>
      </c>
      <c r="D11" s="8" t="s">
        <v>50</v>
      </c>
      <c r="E11" s="6">
        <v>1</v>
      </c>
      <c r="F11" s="7">
        <v>2.8999999999999999</v>
      </c>
      <c r="G11" s="6" t="s">
        <v>20</v>
      </c>
      <c r="H11" s="7">
        <f>IF(F11="","",IF(G11="HT",ROUND(F11*1.081,2),F11))</f>
        <v>2.8999999999999999</v>
      </c>
      <c r="I11" s="7">
        <f t="shared" si="2"/>
        <v>2.8999999999999999</v>
      </c>
      <c r="J11" s="6" t="s">
        <v>21</v>
      </c>
      <c r="K11" s="10" t="s">
        <v>51</v>
      </c>
    </row>
    <row r="12">
      <c r="A12" s="2">
        <v>11</v>
      </c>
      <c r="B12" s="4" t="s">
        <v>52</v>
      </c>
      <c r="C12" s="4" t="s">
        <v>53</v>
      </c>
      <c r="D12" s="4" t="s">
        <v>54</v>
      </c>
      <c r="E12" s="2">
        <v>1</v>
      </c>
      <c r="F12" s="2">
        <v>60</v>
      </c>
      <c r="G12" s="4" t="s">
        <v>20</v>
      </c>
      <c r="H12" s="2">
        <v>60</v>
      </c>
      <c r="I12" s="2">
        <v>60</v>
      </c>
      <c r="J12" s="2" t="s">
        <v>21</v>
      </c>
      <c r="K12" s="2"/>
    </row>
    <row r="13">
      <c r="A13" s="2"/>
      <c r="B13" s="2"/>
      <c r="J13" s="2"/>
      <c r="K13" s="2"/>
    </row>
    <row r="14" ht="14.25">
      <c r="C14" s="11" t="s">
        <v>55</v>
      </c>
      <c r="D14" s="2"/>
      <c r="E14" s="2"/>
      <c r="F14" s="2"/>
      <c r="G14" s="2"/>
      <c r="H14" s="2"/>
      <c r="I14" s="12">
        <f>SUM(I2:I12)</f>
        <v>273.66000000000003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8"/>
    <col customWidth="1" min="2" max="2" width="38"/>
    <col customWidth="1" min="3" max="3" width="10"/>
    <col customWidth="1" min="4" max="4" width="26"/>
    <col customWidth="1" min="5" max="5" width="10"/>
    <col customWidth="1" min="6" max="6" width="12"/>
    <col customWidth="1" min="7" max="7" width="90"/>
    <col customWidth="1" min="8" max="8" width="70"/>
  </cols>
  <sheetData>
    <row r="1">
      <c r="A1" s="1" t="s">
        <v>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10</v>
      </c>
    </row>
    <row r="2">
      <c r="A2" s="2" t="s">
        <v>62</v>
      </c>
      <c r="B2" s="2" t="s">
        <v>63</v>
      </c>
      <c r="C2" s="2">
        <v>12</v>
      </c>
      <c r="D2" s="2" t="s">
        <v>64</v>
      </c>
      <c r="E2" s="2">
        <v>4</v>
      </c>
      <c r="F2" s="2">
        <f t="shared" ref="F2:F4" si="3">IF(E2="","",C2*E2)</f>
        <v>48</v>
      </c>
      <c r="G2" s="2" t="s">
        <v>65</v>
      </c>
      <c r="H2" s="5" t="s">
        <v>66</v>
      </c>
    </row>
    <row r="3">
      <c r="A3" s="2" t="s">
        <v>67</v>
      </c>
      <c r="B3" s="2" t="s">
        <v>68</v>
      </c>
      <c r="C3" s="2">
        <v>12</v>
      </c>
      <c r="D3" s="2" t="s">
        <v>69</v>
      </c>
      <c r="E3" s="2">
        <v>2.7000000000000002</v>
      </c>
      <c r="F3" s="2">
        <f t="shared" si="3"/>
        <v>32.400000000000006</v>
      </c>
      <c r="G3" s="2" t="s">
        <v>70</v>
      </c>
      <c r="H3" s="5" t="s">
        <v>71</v>
      </c>
    </row>
    <row r="4">
      <c r="A4" s="2" t="s">
        <v>67</v>
      </c>
      <c r="B4" s="2" t="s">
        <v>72</v>
      </c>
      <c r="C4" s="2">
        <v>1</v>
      </c>
      <c r="D4" s="2" t="s">
        <v>73</v>
      </c>
      <c r="E4" s="2"/>
      <c r="F4" s="2" t="str">
        <f t="shared" si="3"/>
        <v/>
      </c>
      <c r="G4" s="2" t="s">
        <v>74</v>
      </c>
      <c r="H4" s="5" t="s">
        <v>75</v>
      </c>
    </row>
  </sheetData>
  <hyperlinks>
    <hyperlink r:id="rId1" ref="H2"/>
    <hyperlink r:id="rId2" ref="H3"/>
    <hyperlink r:id="rId3" ref="H4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5"/>
    <col customWidth="1" min="2" max="2" width="34"/>
    <col customWidth="1" min="3" max="3" width="18"/>
    <col customWidth="1" min="4" max="4" width="100"/>
    <col customWidth="1" min="5" max="5" width="58"/>
    <col customWidth="1" min="6" max="6" width="40"/>
  </cols>
  <sheetData>
    <row r="1">
      <c r="A1" s="1" t="s">
        <v>0</v>
      </c>
      <c r="B1" s="1" t="s">
        <v>76</v>
      </c>
      <c r="C1" s="1" t="s">
        <v>77</v>
      </c>
      <c r="D1" s="1" t="s">
        <v>3</v>
      </c>
      <c r="E1" s="1" t="s">
        <v>78</v>
      </c>
      <c r="F1" s="1" t="s">
        <v>79</v>
      </c>
    </row>
    <row r="2">
      <c r="A2" s="2">
        <v>1</v>
      </c>
      <c r="B2" s="2" t="s">
        <v>80</v>
      </c>
      <c r="C2" s="13" t="s">
        <v>81</v>
      </c>
      <c r="D2" s="2" t="s">
        <v>82</v>
      </c>
      <c r="E2" s="2" t="s">
        <v>83</v>
      </c>
      <c r="F2" s="2" t="s">
        <v>84</v>
      </c>
    </row>
    <row r="3">
      <c r="A3" s="2">
        <v>2</v>
      </c>
      <c r="B3" s="2" t="s">
        <v>85</v>
      </c>
      <c r="C3" s="13" t="s">
        <v>81</v>
      </c>
      <c r="D3" s="2" t="s">
        <v>86</v>
      </c>
      <c r="E3" s="2" t="s">
        <v>87</v>
      </c>
      <c r="F3" s="2" t="s">
        <v>88</v>
      </c>
    </row>
    <row r="4">
      <c r="A4" s="2">
        <v>3</v>
      </c>
      <c r="B4" s="2" t="s">
        <v>89</v>
      </c>
      <c r="C4" s="13" t="s">
        <v>81</v>
      </c>
      <c r="D4" s="2" t="s">
        <v>90</v>
      </c>
      <c r="E4" s="2" t="s">
        <v>91</v>
      </c>
      <c r="F4" s="2" t="s">
        <v>92</v>
      </c>
    </row>
    <row r="5">
      <c r="A5" s="2">
        <v>4</v>
      </c>
      <c r="B5" s="2" t="s">
        <v>93</v>
      </c>
      <c r="C5" s="14" t="s">
        <v>94</v>
      </c>
      <c r="D5" s="2" t="s">
        <v>95</v>
      </c>
      <c r="E5" s="2" t="s">
        <v>96</v>
      </c>
      <c r="F5" s="2" t="s">
        <v>97</v>
      </c>
    </row>
    <row r="6">
      <c r="A6" s="2">
        <v>5</v>
      </c>
      <c r="B6" s="2" t="s">
        <v>98</v>
      </c>
      <c r="C6" s="14" t="s">
        <v>94</v>
      </c>
      <c r="D6" s="2" t="s">
        <v>99</v>
      </c>
      <c r="E6" s="2" t="s">
        <v>100</v>
      </c>
      <c r="F6" s="2" t="s">
        <v>92</v>
      </c>
    </row>
    <row r="7">
      <c r="A7" s="2">
        <v>6</v>
      </c>
      <c r="B7" s="2" t="s">
        <v>101</v>
      </c>
      <c r="C7" s="6" t="s">
        <v>102</v>
      </c>
      <c r="D7" s="2" t="s">
        <v>103</v>
      </c>
      <c r="E7" s="2" t="s">
        <v>104</v>
      </c>
      <c r="F7" s="2" t="s">
        <v>92</v>
      </c>
    </row>
    <row r="8">
      <c r="A8" s="2">
        <v>7</v>
      </c>
      <c r="B8" s="2" t="s">
        <v>105</v>
      </c>
      <c r="C8" s="13" t="s">
        <v>81</v>
      </c>
      <c r="D8" s="2" t="s">
        <v>106</v>
      </c>
      <c r="E8" s="2" t="s">
        <v>107</v>
      </c>
      <c r="F8" s="2" t="s">
        <v>108</v>
      </c>
    </row>
    <row r="9">
      <c r="A9" s="2">
        <v>8</v>
      </c>
      <c r="B9" s="2" t="s">
        <v>109</v>
      </c>
      <c r="C9" s="6" t="s">
        <v>110</v>
      </c>
      <c r="D9" s="2" t="s">
        <v>111</v>
      </c>
      <c r="E9" s="2" t="s">
        <v>112</v>
      </c>
      <c r="F9" s="2" t="s">
        <v>92</v>
      </c>
    </row>
    <row r="10">
      <c r="A10" s="2">
        <v>9</v>
      </c>
      <c r="B10" s="2" t="s">
        <v>113</v>
      </c>
      <c r="C10" s="6" t="s">
        <v>114</v>
      </c>
      <c r="D10" s="2" t="s">
        <v>115</v>
      </c>
      <c r="E10" s="2" t="s">
        <v>116</v>
      </c>
      <c r="F10" s="2" t="s">
        <v>108</v>
      </c>
    </row>
    <row r="11">
      <c r="A11" s="2">
        <v>10</v>
      </c>
      <c r="B11" s="2" t="s">
        <v>117</v>
      </c>
      <c r="C11" s="13" t="s">
        <v>81</v>
      </c>
      <c r="D11" s="2" t="s">
        <v>118</v>
      </c>
      <c r="E11" s="2" t="s">
        <v>119</v>
      </c>
      <c r="F11" s="2" t="s">
        <v>120</v>
      </c>
    </row>
    <row r="12">
      <c r="A12" s="2">
        <v>11</v>
      </c>
      <c r="B12" s="2" t="s">
        <v>121</v>
      </c>
      <c r="C12" s="13" t="s">
        <v>81</v>
      </c>
      <c r="D12" s="2" t="s">
        <v>122</v>
      </c>
      <c r="E12" s="2" t="s">
        <v>123</v>
      </c>
      <c r="F12" s="2" t="s">
        <v>124</v>
      </c>
    </row>
    <row r="13">
      <c r="A13" s="2">
        <v>12</v>
      </c>
      <c r="B13" s="2" t="s">
        <v>125</v>
      </c>
      <c r="C13" s="6" t="s">
        <v>102</v>
      </c>
      <c r="D13" s="2" t="s">
        <v>126</v>
      </c>
      <c r="E13" s="2" t="s">
        <v>127</v>
      </c>
      <c r="F13" s="2" t="s">
        <v>128</v>
      </c>
    </row>
    <row r="14">
      <c r="A14" s="2">
        <v>13</v>
      </c>
      <c r="B14" s="2" t="s">
        <v>129</v>
      </c>
      <c r="C14" s="13" t="s">
        <v>81</v>
      </c>
      <c r="D14" s="2" t="s">
        <v>130</v>
      </c>
      <c r="E14" s="2" t="s">
        <v>131</v>
      </c>
      <c r="F14" s="2" t="s">
        <v>132</v>
      </c>
    </row>
    <row r="15">
      <c r="A15" s="2">
        <v>14</v>
      </c>
      <c r="B15" s="2" t="s">
        <v>133</v>
      </c>
      <c r="C15" s="6" t="s">
        <v>102</v>
      </c>
      <c r="D15" s="2" t="s">
        <v>134</v>
      </c>
      <c r="E15" s="2" t="s">
        <v>135</v>
      </c>
      <c r="F15" s="2" t="s">
        <v>92</v>
      </c>
    </row>
    <row r="16">
      <c r="A16" s="2">
        <v>15</v>
      </c>
      <c r="B16" s="2" t="s">
        <v>136</v>
      </c>
      <c r="C16" s="6" t="s">
        <v>114</v>
      </c>
      <c r="D16" s="2" t="s">
        <v>137</v>
      </c>
      <c r="E16" s="2" t="s">
        <v>138</v>
      </c>
      <c r="F16" s="2" t="s">
        <v>139</v>
      </c>
    </row>
    <row r="17">
      <c r="A17" s="2">
        <v>16</v>
      </c>
      <c r="B17" s="2" t="s">
        <v>140</v>
      </c>
      <c r="C17" s="15" t="s">
        <v>141</v>
      </c>
      <c r="D17" s="2" t="s">
        <v>142</v>
      </c>
      <c r="E17" s="2" t="s">
        <v>143</v>
      </c>
      <c r="F17" s="2" t="s">
        <v>144</v>
      </c>
    </row>
    <row r="18">
      <c r="A18" s="2">
        <v>17</v>
      </c>
      <c r="B18" s="2" t="s">
        <v>145</v>
      </c>
      <c r="C18" s="14" t="s">
        <v>146</v>
      </c>
      <c r="D18" s="2" t="s">
        <v>147</v>
      </c>
      <c r="E18" s="2" t="s">
        <v>148</v>
      </c>
      <c r="F18" s="2" t="s">
        <v>17</v>
      </c>
    </row>
    <row r="19">
      <c r="A19" s="2">
        <v>18</v>
      </c>
      <c r="B19" s="2" t="s">
        <v>149</v>
      </c>
      <c r="C19" s="16" t="s">
        <v>150</v>
      </c>
      <c r="D19" s="2" t="s">
        <v>151</v>
      </c>
      <c r="E19" s="2" t="s">
        <v>152</v>
      </c>
      <c r="F19" s="2" t="s">
        <v>92</v>
      </c>
    </row>
    <row r="20">
      <c r="A20" s="2">
        <v>19</v>
      </c>
      <c r="B20" s="2" t="s">
        <v>153</v>
      </c>
      <c r="C20" s="13" t="s">
        <v>81</v>
      </c>
      <c r="D20" s="2" t="s">
        <v>154</v>
      </c>
      <c r="E20" s="2" t="s">
        <v>155</v>
      </c>
      <c r="F20" s="2" t="s">
        <v>92</v>
      </c>
    </row>
    <row r="21">
      <c r="A21" s="2">
        <v>20</v>
      </c>
      <c r="B21" s="2" t="s">
        <v>156</v>
      </c>
      <c r="C21" s="13" t="s">
        <v>81</v>
      </c>
      <c r="D21" s="2" t="s">
        <v>157</v>
      </c>
      <c r="E21" s="2" t="s">
        <v>158</v>
      </c>
      <c r="F21" s="2" t="s">
        <v>159</v>
      </c>
    </row>
    <row r="22">
      <c r="A22" s="2">
        <v>21</v>
      </c>
      <c r="B22" s="2" t="s">
        <v>160</v>
      </c>
      <c r="C22" s="13" t="s">
        <v>81</v>
      </c>
      <c r="D22" s="2" t="s">
        <v>161</v>
      </c>
      <c r="E22" s="2" t="s">
        <v>162</v>
      </c>
      <c r="F22" s="2" t="s">
        <v>163</v>
      </c>
    </row>
    <row r="23">
      <c r="A23" s="2">
        <v>22</v>
      </c>
      <c r="B23" s="2" t="s">
        <v>164</v>
      </c>
      <c r="C23" s="6" t="s">
        <v>114</v>
      </c>
      <c r="D23" s="2" t="s">
        <v>165</v>
      </c>
      <c r="E23" s="2" t="s">
        <v>166</v>
      </c>
      <c r="F23" s="2" t="s">
        <v>167</v>
      </c>
    </row>
    <row r="24">
      <c r="A24" s="2">
        <v>23</v>
      </c>
      <c r="B24" s="2" t="s">
        <v>168</v>
      </c>
      <c r="C24" s="6" t="s">
        <v>169</v>
      </c>
      <c r="D24" s="2" t="s">
        <v>170</v>
      </c>
      <c r="E24" s="2" t="s">
        <v>171</v>
      </c>
      <c r="F24" s="2" t="s">
        <v>172</v>
      </c>
    </row>
    <row r="25">
      <c r="A25" s="2">
        <v>24</v>
      </c>
      <c r="B25" s="2" t="s">
        <v>173</v>
      </c>
      <c r="C25" s="14" t="s">
        <v>174</v>
      </c>
      <c r="D25" s="2" t="s">
        <v>175</v>
      </c>
      <c r="E25" s="2" t="s">
        <v>176</v>
      </c>
      <c r="F25" s="2" t="s">
        <v>177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8"/>
    <col customWidth="1" min="2" max="2" width="26"/>
    <col customWidth="1" min="3" max="3" width="24"/>
    <col customWidth="1" min="4" max="4" width="18"/>
    <col customWidth="1" min="5" max="5" width="60"/>
  </cols>
  <sheetData>
    <row r="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61</v>
      </c>
    </row>
    <row r="2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186</v>
      </c>
    </row>
    <row r="3">
      <c r="A3" s="2" t="s">
        <v>182</v>
      </c>
      <c r="B3" s="2" t="s">
        <v>187</v>
      </c>
      <c r="C3" s="2" t="s">
        <v>187</v>
      </c>
      <c r="D3" s="2" t="s">
        <v>188</v>
      </c>
      <c r="E3" s="2" t="s">
        <v>189</v>
      </c>
    </row>
    <row r="4">
      <c r="A4" s="2" t="s">
        <v>182</v>
      </c>
      <c r="B4" s="2" t="s">
        <v>190</v>
      </c>
      <c r="C4" s="2" t="s">
        <v>191</v>
      </c>
      <c r="D4" s="2" t="s">
        <v>192</v>
      </c>
      <c r="E4" s="2" t="s">
        <v>193</v>
      </c>
    </row>
    <row r="5">
      <c r="A5" s="2" t="s">
        <v>182</v>
      </c>
      <c r="B5" s="2" t="s">
        <v>194</v>
      </c>
      <c r="C5" s="2" t="s">
        <v>195</v>
      </c>
      <c r="D5" s="2" t="s">
        <v>192</v>
      </c>
      <c r="E5" s="2" t="s">
        <v>196</v>
      </c>
    </row>
    <row r="6">
      <c r="A6" s="2" t="s">
        <v>182</v>
      </c>
      <c r="B6" s="2" t="s">
        <v>197</v>
      </c>
      <c r="C6" s="2" t="s">
        <v>198</v>
      </c>
      <c r="D6" s="2" t="s">
        <v>192</v>
      </c>
      <c r="E6" s="2"/>
    </row>
    <row r="7">
      <c r="A7" s="2" t="s">
        <v>182</v>
      </c>
      <c r="B7" s="2" t="s">
        <v>199</v>
      </c>
      <c r="C7" s="2" t="s">
        <v>200</v>
      </c>
      <c r="D7" s="2" t="s">
        <v>201</v>
      </c>
      <c r="E7" s="2"/>
    </row>
    <row r="8">
      <c r="A8" s="2" t="s">
        <v>182</v>
      </c>
      <c r="B8" s="2" t="s">
        <v>202</v>
      </c>
      <c r="C8" s="2" t="s">
        <v>203</v>
      </c>
      <c r="D8" s="2" t="s">
        <v>201</v>
      </c>
      <c r="E8" s="2"/>
    </row>
    <row r="9">
      <c r="A9" s="2" t="s">
        <v>182</v>
      </c>
      <c r="B9" s="2" t="s">
        <v>204</v>
      </c>
      <c r="C9" s="2" t="s">
        <v>205</v>
      </c>
      <c r="D9" s="2" t="s">
        <v>201</v>
      </c>
      <c r="E9" s="2" t="s">
        <v>206</v>
      </c>
    </row>
    <row r="10">
      <c r="A10" s="2" t="s">
        <v>207</v>
      </c>
      <c r="B10" s="2" t="s">
        <v>183</v>
      </c>
      <c r="C10" s="2" t="s">
        <v>184</v>
      </c>
      <c r="D10" s="2" t="s">
        <v>185</v>
      </c>
      <c r="E10" s="2"/>
    </row>
    <row r="11">
      <c r="A11" s="2" t="s">
        <v>207</v>
      </c>
      <c r="B11" s="2" t="s">
        <v>187</v>
      </c>
      <c r="C11" s="2" t="s">
        <v>187</v>
      </c>
      <c r="D11" s="2" t="s">
        <v>188</v>
      </c>
      <c r="E11" s="2"/>
    </row>
    <row r="12">
      <c r="A12" s="2" t="s">
        <v>207</v>
      </c>
      <c r="B12" s="2" t="s">
        <v>208</v>
      </c>
      <c r="C12" s="2" t="s">
        <v>187</v>
      </c>
      <c r="D12" s="2" t="s">
        <v>188</v>
      </c>
      <c r="E12" s="2" t="s">
        <v>209</v>
      </c>
    </row>
    <row r="13">
      <c r="A13" s="2" t="s">
        <v>207</v>
      </c>
      <c r="B13" s="2" t="s">
        <v>210</v>
      </c>
      <c r="C13" s="2" t="s">
        <v>211</v>
      </c>
      <c r="D13" s="2" t="s">
        <v>201</v>
      </c>
      <c r="E13" s="2" t="s">
        <v>212</v>
      </c>
    </row>
    <row r="14">
      <c r="A14" s="2" t="s">
        <v>207</v>
      </c>
      <c r="B14" s="2" t="s">
        <v>213</v>
      </c>
      <c r="C14" s="2" t="s">
        <v>214</v>
      </c>
      <c r="D14" s="2" t="s">
        <v>201</v>
      </c>
      <c r="E14" s="2" t="s">
        <v>212</v>
      </c>
    </row>
    <row r="15">
      <c r="A15" s="2" t="s">
        <v>207</v>
      </c>
      <c r="B15" s="2" t="s">
        <v>215</v>
      </c>
      <c r="C15" s="2" t="s">
        <v>216</v>
      </c>
      <c r="D15" s="2" t="s">
        <v>201</v>
      </c>
      <c r="E15" s="2" t="s">
        <v>217</v>
      </c>
    </row>
    <row r="16">
      <c r="A16" s="2" t="s">
        <v>218</v>
      </c>
      <c r="B16" s="2" t="s">
        <v>219</v>
      </c>
      <c r="C16" s="2" t="s">
        <v>220</v>
      </c>
      <c r="D16" s="2" t="s">
        <v>221</v>
      </c>
      <c r="E16" s="2"/>
    </row>
    <row r="17">
      <c r="A17" s="2" t="s">
        <v>218</v>
      </c>
      <c r="B17" s="2" t="s">
        <v>222</v>
      </c>
      <c r="C17" s="2" t="s">
        <v>223</v>
      </c>
      <c r="D17" s="2" t="s">
        <v>221</v>
      </c>
      <c r="E17" s="2"/>
    </row>
    <row r="18">
      <c r="A18" s="2" t="s">
        <v>218</v>
      </c>
      <c r="B18" s="2" t="s">
        <v>224</v>
      </c>
      <c r="C18" s="2" t="s">
        <v>187</v>
      </c>
      <c r="D18" s="2" t="s">
        <v>188</v>
      </c>
      <c r="E18" s="2" t="s">
        <v>225</v>
      </c>
    </row>
    <row r="19">
      <c r="A19" s="2" t="s">
        <v>226</v>
      </c>
      <c r="B19" s="2" t="s">
        <v>227</v>
      </c>
      <c r="C19" s="2" t="s">
        <v>228</v>
      </c>
      <c r="D19" s="2"/>
      <c r="E19" s="2" t="s">
        <v>229</v>
      </c>
    </row>
    <row r="20">
      <c r="A20" s="2" t="s">
        <v>230</v>
      </c>
      <c r="B20" s="2" t="s">
        <v>231</v>
      </c>
      <c r="C20" s="2" t="s">
        <v>232</v>
      </c>
      <c r="D20" s="2"/>
      <c r="E20" s="2" t="s">
        <v>233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52"/>
    <col customWidth="1" min="3" max="3" width="62"/>
    <col customWidth="1" min="4" max="4" width="55"/>
  </cols>
  <sheetData>
    <row r="1">
      <c r="A1" s="1" t="s">
        <v>234</v>
      </c>
      <c r="B1" s="1" t="s">
        <v>235</v>
      </c>
      <c r="C1" s="1" t="s">
        <v>236</v>
      </c>
      <c r="D1" s="1" t="s">
        <v>237</v>
      </c>
    </row>
    <row r="2">
      <c r="A2" s="2" t="s">
        <v>238</v>
      </c>
      <c r="B2" s="2" t="s">
        <v>239</v>
      </c>
      <c r="C2" s="2" t="s">
        <v>240</v>
      </c>
      <c r="D2" s="2" t="s">
        <v>241</v>
      </c>
    </row>
    <row r="3">
      <c r="A3" s="2" t="s">
        <v>238</v>
      </c>
      <c r="B3" s="2" t="s">
        <v>242</v>
      </c>
      <c r="C3" s="2" t="s">
        <v>243</v>
      </c>
      <c r="D3" s="2" t="s">
        <v>244</v>
      </c>
    </row>
    <row r="4">
      <c r="A4" s="2" t="s">
        <v>238</v>
      </c>
      <c r="B4" s="2" t="s">
        <v>245</v>
      </c>
      <c r="C4" s="2" t="s">
        <v>246</v>
      </c>
      <c r="D4" s="2" t="s">
        <v>247</v>
      </c>
    </row>
    <row r="5">
      <c r="A5" s="2" t="s">
        <v>248</v>
      </c>
      <c r="B5" s="2" t="s">
        <v>249</v>
      </c>
      <c r="C5" s="2" t="s">
        <v>250</v>
      </c>
      <c r="D5" s="2" t="s">
        <v>251</v>
      </c>
    </row>
    <row r="6">
      <c r="A6" s="2" t="s">
        <v>248</v>
      </c>
      <c r="B6" s="2" t="s">
        <v>252</v>
      </c>
      <c r="C6" s="2" t="s">
        <v>253</v>
      </c>
      <c r="D6" s="2" t="s">
        <v>254</v>
      </c>
    </row>
    <row r="7">
      <c r="A7" s="2" t="s">
        <v>248</v>
      </c>
      <c r="B7" s="2" t="s">
        <v>255</v>
      </c>
      <c r="C7" s="2" t="s">
        <v>256</v>
      </c>
      <c r="D7" s="2" t="s">
        <v>257</v>
      </c>
    </row>
    <row r="8">
      <c r="A8" s="2" t="s">
        <v>258</v>
      </c>
      <c r="B8" s="2" t="s">
        <v>259</v>
      </c>
      <c r="C8" s="2" t="s">
        <v>260</v>
      </c>
      <c r="D8" s="2" t="s">
        <v>261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2026-10-19T09:54:01Z</dcterms:created>
  <dcterms:modified xsi:type="dcterms:W3CDTF">2026-10-19T10:20:37Z</dcterms:modified>
</cp:coreProperties>
</file>