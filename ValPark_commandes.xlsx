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ommande" sheetId="1" state="visible" r:id="rId1"/>
    <sheet name="Pinouts" sheetId="2" state="visible" r:id="rId2"/>
    <sheet name="Vérifications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<sst xmlns="http://schemas.openxmlformats.org/spreadsheetml/2006/main" count="113" uniqueCount="113">
  <si>
    <t>#</t>
  </si>
  <si>
    <t>Composant</t>
  </si>
  <si>
    <t xml:space="preserve">Référence / détail</t>
  </si>
  <si>
    <t>Boutique</t>
  </si>
  <si>
    <t>Qté</t>
  </si>
  <si>
    <t xml:space="preserve">Prix unit. (CHF)</t>
  </si>
  <si>
    <t xml:space="preserve">Total (CHF)</t>
  </si>
  <si>
    <t>Lien</t>
  </si>
  <si>
    <t xml:space="preserve">LilyGo T3S3 E-Paper 868 MHz SX1262</t>
  </si>
  <si>
    <t xml:space="preserve">H727 ; livrée avec antenne, câble batterie PH2.0, 2 barrettes 13 broches</t>
  </si>
  <si>
    <t>Bastelgarage</t>
  </si>
  <si>
    <t>https://www.bastelgarage.ch/lilygo-lora-t3s3-e-paper-esp32-s3-868mhz-sx1262-1-3912</t>
  </si>
  <si>
    <t xml:space="preserve">GPS Gravity GNSS GPS/BeiDou (I2C+UART)</t>
  </si>
  <si>
    <t xml:space="preserve">DFRobot, antenne active IPEX + câble 4 broches</t>
  </si>
  <si>
    <t>https://www.bastelgarage.ch/module-recepteur-gps-beidou-gnss-gravity-i2c-et-uart</t>
  </si>
  <si>
    <t xml:space="preserve">MPU6050 GY-521</t>
  </si>
  <si>
    <t>Accéléromètre/gyroscope</t>
  </si>
  <si>
    <t>https://www.bastelgarage.ch/mpu-6050-accelerometre-a-3-axes-avec-gyroscope</t>
  </si>
  <si>
    <t xml:space="preserve">Batterie LiPo 1500 mAh JST-PH 2.0</t>
  </si>
  <si>
    <t xml:space="preserve">Type 504050, 52x42x5 mm, 3,7 V, rechargeable (1 de rechange)</t>
  </si>
  <si>
    <t>https://www.bastelgarage.ch/lipo-akku-1500mah-jst-2-0-lithium-ion-polymer</t>
  </si>
  <si>
    <t xml:space="preserve">Antenne LoRa 868 MHz FPC RAK (IPEX)</t>
  </si>
  <si>
    <t xml:space="preserve">Flexible 35x7x0.5 mm, câble 100 mm, à cacher dans le boîtier</t>
  </si>
  <si>
    <t>https://www.bastelgarage.ch/antenne-pcb-rak-868mhz-pour-lora</t>
  </si>
  <si>
    <t xml:space="preserve">Câbles Dupont F-F 10 cm</t>
  </si>
  <si>
    <t xml:space="preserve">Lot de 20 pièces, x2 = 40 fils</t>
  </si>
  <si>
    <t>https://www.bastelgarage.ch/cables-dupont-f-f-10cm-20-pieces</t>
  </si>
  <si>
    <t xml:space="preserve">MOSFET P AO3401A</t>
  </si>
  <si>
    <t xml:space="preserve">SOT-23, P-ch 30 V 4 A (10 pièces)</t>
  </si>
  <si>
    <t>DigiKey.ch</t>
  </si>
  <si>
    <t>https://www.digikey.ch/en/products/detail/alpha-omega-semiconductor-inc/AO3401A/1855773</t>
  </si>
  <si>
    <t xml:space="preserve">Platine adaptatrice SOT-23 vers broches</t>
  </si>
  <si>
    <t xml:space="preserve">Pour monter l'AO3401A (5 pièces)</t>
  </si>
  <si>
    <t>https://www.digikey.ch/fr/products/detail/sparkfun-electronics/00717/5318740</t>
  </si>
  <si>
    <t xml:space="preserve">Résistance 100 kΩ 1/4 W traversante</t>
  </si>
  <si>
    <t xml:space="preserve">Pull-up grille MOSFET (30 pièces, ex. Yageo CFR-25JB-52-100K)</t>
  </si>
  <si>
    <t>https://www.digikey.ch/en/products/detail/yageo/CFR-12JB-52-100K/3950</t>
  </si>
  <si>
    <t>Module</t>
  </si>
  <si>
    <t xml:space="preserve">Broche module</t>
  </si>
  <si>
    <t xml:space="preserve">Broche carte</t>
  </si>
  <si>
    <t>Remarque</t>
  </si>
  <si>
    <t xml:space="preserve">GPS Gravity GNSS</t>
  </si>
  <si>
    <t xml:space="preserve">D/T (TX en UART)</t>
  </si>
  <si>
    <t xml:space="preserve">GPIO 44</t>
  </si>
  <si>
    <t xml:space="preserve">Interrupteur du module sur UART ; 9600 bauds par défaut (à vérifier)</t>
  </si>
  <si>
    <t xml:space="preserve">C/R (RX en UART)</t>
  </si>
  <si>
    <t xml:space="preserve">GPIO 43</t>
  </si>
  <si>
    <t xml:space="preserve">Si aucune donnée : inverser 43/44</t>
  </si>
  <si>
    <t xml:space="preserve">+ (VCC)</t>
  </si>
  <si>
    <t xml:space="preserve">Drain MOSFET</t>
  </si>
  <si>
    <t xml:space="preserve">3,3 V commuté (module 3,3 à 5,5 V)</t>
  </si>
  <si>
    <t>GND</t>
  </si>
  <si>
    <t>IPEX</t>
  </si>
  <si>
    <t xml:space="preserve">Antenne active</t>
  </si>
  <si>
    <t xml:space="preserve">Brancher l'antenne fournie</t>
  </si>
  <si>
    <t>MPU6050</t>
  </si>
  <si>
    <t>SDA</t>
  </si>
  <si>
    <t xml:space="preserve">GPIO 10</t>
  </si>
  <si>
    <t>I2C</t>
  </si>
  <si>
    <t>SCL</t>
  </si>
  <si>
    <t xml:space="preserve">GPIO 21</t>
  </si>
  <si>
    <t>INT</t>
  </si>
  <si>
    <t xml:space="preserve">GPIO 4</t>
  </si>
  <si>
    <t xml:space="preserve">Broche RTC (0-21), à vérifier sur le header</t>
  </si>
  <si>
    <t xml:space="preserve">VCC / GND / AD0</t>
  </si>
  <si>
    <t xml:space="preserve">3V3 / GND / GND</t>
  </si>
  <si>
    <t xml:space="preserve">Adresse I2C 0x68</t>
  </si>
  <si>
    <t xml:space="preserve">MOSFET AO3401A</t>
  </si>
  <si>
    <t>Source</t>
  </si>
  <si>
    <t>3V3</t>
  </si>
  <si>
    <t>Grille</t>
  </si>
  <si>
    <t xml:space="preserve">GPIO 12</t>
  </si>
  <si>
    <t xml:space="preserve">+ 100 kΩ vers 3V3 ; GPIO bas = GPS ON ; à vérifier sur le header</t>
  </si>
  <si>
    <t xml:space="preserve">Batterie LiPo</t>
  </si>
  <si>
    <t xml:space="preserve">+ / -</t>
  </si>
  <si>
    <t xml:space="preserve">Câble PH2.0 fourni avec la carte</t>
  </si>
  <si>
    <t xml:space="preserve">VÉRIFIER LA POLARITÉ avant de brancher</t>
  </si>
  <si>
    <t xml:space="preserve">Antenne LoRa</t>
  </si>
  <si>
    <t xml:space="preserve">IPEX (ou SMA selon la carte)</t>
  </si>
  <si>
    <t xml:space="preserve">Connecteur LoRa de la carte</t>
  </si>
  <si>
    <t xml:space="preserve">Antenne FPC RAK en IPEX ; vérifier le connecteur à la réception</t>
  </si>
  <si>
    <t xml:space="preserve">E-paper (interne)</t>
  </si>
  <si>
    <t>BUSY/RST/DC/CS/CLK/MOSI</t>
  </si>
  <si>
    <t>48/47/16/15/14/11</t>
  </si>
  <si>
    <t xml:space="preserve">Fixe sur la carte</t>
  </si>
  <si>
    <t xml:space="preserve">SX1262 (interne)</t>
  </si>
  <si>
    <t>SCLK/MISO/MOSI/CS</t>
  </si>
  <si>
    <t>5/3/6/7</t>
  </si>
  <si>
    <t>DIO1/BUSY/RST/POW</t>
  </si>
  <si>
    <t>33/34/8/35</t>
  </si>
  <si>
    <t>Point</t>
  </si>
  <si>
    <t>Résultat</t>
  </si>
  <si>
    <t xml:space="preserve">Charge par USB-C</t>
  </si>
  <si>
    <t xml:space="preserve">OK : USB 5 V, 500 mA, batterie LiPo 3,7 V + puce de charge TP4065B intégrée</t>
  </si>
  <si>
    <t xml:space="preserve">Bastelgarage, electronics-lab.com</t>
  </si>
  <si>
    <t xml:space="preserve">Connecteur batterie</t>
  </si>
  <si>
    <t xml:space="preserve">Câble PH2.0 fourni : prendre une batterie JST-PH 2.0 (corrige la batterie JST 1.25 proposée avant)</t>
  </si>
  <si>
    <t xml:space="preserve">Barrettes 2x13</t>
  </si>
  <si>
    <t xml:space="preserve">Fournies avec la carte : ne pas en commander</t>
  </si>
  <si>
    <t xml:space="preserve">Antenne LoRa fournie</t>
  </si>
  <si>
    <t xml:space="preserve">Oui, mais non cachée (antenne externe) : remplacer par une FPC</t>
  </si>
  <si>
    <t xml:space="preserve">Connecteur antenne</t>
  </si>
  <si>
    <t xml:space="preserve">IPEX1 ou SMA selon la version (CNX Software) : vérifier sur la carte reçue</t>
  </si>
  <si>
    <t>cnx-software.com</t>
  </si>
  <si>
    <t xml:space="preserve">Si la carte est en SMA</t>
  </si>
  <si>
    <t xml:space="preserve">Utiliser l'antenne flexible Gizont SMA, ou déplacer la résistance indiquée par LilyGo pour passer en IPEX</t>
  </si>
  <si>
    <t xml:space="preserve">LilyGo wiki / Reddit</t>
  </si>
  <si>
    <t xml:space="preserve">Antenne dans le boîtier</t>
  </si>
  <si>
    <t xml:space="preserve">Boîtier plastique ; éloigner l'antenne de la batterie, du GPS et de tout métal</t>
  </si>
  <si>
    <t>-</t>
  </si>
  <si>
    <t xml:space="preserve">Polarité batterie</t>
  </si>
  <si>
    <t xml:space="preserve">À contrôler : des inversions + / - ont grillé des cartes T3S3</t>
  </si>
  <si>
    <t>LilyGo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</si>
</sst>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color indexed="65"/>
    </font>
    <font>
      <u/>
      <color rgb="FF0070C0"/>
    </font>
    <font>
      <u/>
      <sz val="11.000000"/>
      <color rgb="FF0070C0"/>
      <name val="Calibri"/>
    </font>
    <font>
      <sz val="11.000000"/>
      <color rgb="FF0070C0"/>
      <name val="Calibri"/>
      <scheme val="minor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/>
    </xf>
    <xf fontId="0" fillId="0" borderId="1" numFmtId="0" xfId="0" applyBorder="1" quotePrefix="0" pivotButton="0"/>
    <xf fontId="0" fillId="0" borderId="1" numFmtId="2" xfId="0" applyNumberFormat="1" applyBorder="1" quotePrefix="0" pivotButton="0"/>
    <xf fontId="2" fillId="0" borderId="1" numFmtId="0" xfId="0" applyFont="1" applyBorder="1" quotePrefix="0" pivotButton="0"/>
    <xf fontId="0" fillId="0" borderId="1" numFmtId="0" xfId="0" applyBorder="1" quotePrefix="0" pivotButton="0"/>
    <xf fontId="0" fillId="0" borderId="1" numFmtId="2" xfId="0" applyNumberFormat="1" applyBorder="1" quotePrefix="0" pivotButton="0"/>
    <xf fontId="3" fillId="0" borderId="1" numFmtId="0" xfId="0" applyFont="1" applyBorder="1" quotePrefix="0" pivotButton="0"/>
    <xf fontId="4" fillId="0" borderId="0" numFmtId="0" xfId="0" applyFont="1" quotePrefix="0" pivotButton="0"/>
    <xf fontId="5" fillId="0" borderId="0" numFmtId="0" xfId="0" applyFont="1" quotePrefix="0" pivotButton="0"/>
    <xf fontId="5" fillId="0" borderId="0" numFmtId="2" xfId="0" applyNumberFormat="1" applyFont="1" quotePrefix="0" pivotButton="0"/>
    <xf fontId="1" fillId="2" borderId="0" numFmtId="0" xfId="0" applyFont="1" applyFill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bastelgarage.ch/lilygo-lora-t3s3-e-paper-esp32-s3-868mhz-sx1262-1-3912" TargetMode="External"/><Relationship  Id="rId2" Type="http://schemas.openxmlformats.org/officeDocument/2006/relationships/hyperlink" Target="https://www.bastelgarage.ch/module-recepteur-gps-beidou-gnss-gravity-i2c-et-uart" TargetMode="External"/><Relationship  Id="rId3" Type="http://schemas.openxmlformats.org/officeDocument/2006/relationships/hyperlink" Target="https://www.bastelgarage.ch/mpu-6050-accelerometre-a-3-axes-avec-gyroscope" TargetMode="External"/><Relationship  Id="rId4" Type="http://schemas.openxmlformats.org/officeDocument/2006/relationships/hyperlink" Target="https://www.bastelgarage.ch/lipo-akku-1500mah-jst-2-0-lithium-ion-polymer" TargetMode="External"/><Relationship  Id="rId5" Type="http://schemas.openxmlformats.org/officeDocument/2006/relationships/hyperlink" Target="https://www.bastelgarage.ch/antenne-pcb-rak-868mhz-pour-lora" TargetMode="External"/><Relationship  Id="rId6" Type="http://schemas.openxmlformats.org/officeDocument/2006/relationships/hyperlink" Target="https://www.bastelgarage.ch/cables-dupont-f-f-10cm-20-pieces" TargetMode="External"/><Relationship  Id="rId7" Type="http://schemas.openxmlformats.org/officeDocument/2006/relationships/hyperlink" Target="https://www.digikey.ch/en/products/detail/alpha-omega-semiconductor-inc/AO3401A/1855773" TargetMode="External"/><Relationship  Id="rId8" Type="http://schemas.openxmlformats.org/officeDocument/2006/relationships/hyperlink" Target="https://www.digikey.ch/fr/products/detail/sparkfun-electronics/00717/5318740" TargetMode="External"/><Relationship  Id="rId9" Type="http://schemas.openxmlformats.org/officeDocument/2006/relationships/hyperlink" Target="https://www.digikey.ch/en/products/detail/yageo/CFR-12JB-52-100K/39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B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4"/>
    <col customWidth="1" min="2" max="2" width="46"/>
    <col customWidth="1" min="3" max="3" width="60"/>
    <col customWidth="1" min="4" max="4" width="26"/>
    <col customWidth="1" min="5" max="5" width="6"/>
    <col customWidth="1" min="6" max="6" width="16"/>
    <col customWidth="1" min="7" max="7" width="13"/>
    <col customWidth="1" min="8" max="8" width="7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</v>
      </c>
      <c r="B2" s="2" t="s">
        <v>8</v>
      </c>
      <c r="C2" s="2" t="s">
        <v>9</v>
      </c>
      <c r="D2" s="2" t="s">
        <v>10</v>
      </c>
      <c r="E2" s="2">
        <v>1</v>
      </c>
      <c r="F2" s="3">
        <v>32.899999999999999</v>
      </c>
      <c r="G2" s="3">
        <f t="shared" ref="G2:G7" si="0">IF(F2="","",E2*F2)</f>
        <v>32.899999999999999</v>
      </c>
      <c r="H2" s="4" t="s">
        <v>11</v>
      </c>
    </row>
    <row r="3" s="0" customFormat="1">
      <c r="A3" s="2">
        <v>2</v>
      </c>
      <c r="B3" s="2" t="s">
        <v>12</v>
      </c>
      <c r="C3" s="2" t="s">
        <v>13</v>
      </c>
      <c r="D3" s="2" t="s">
        <v>10</v>
      </c>
      <c r="E3" s="2">
        <v>1</v>
      </c>
      <c r="F3" s="3">
        <v>19.899999999999999</v>
      </c>
      <c r="G3" s="3">
        <f t="shared" si="0"/>
        <v>19.899999999999999</v>
      </c>
      <c r="H3" s="4" t="s">
        <v>14</v>
      </c>
    </row>
    <row r="4" s="0" customFormat="1">
      <c r="A4" s="2">
        <v>3</v>
      </c>
      <c r="B4" s="2" t="s">
        <v>15</v>
      </c>
      <c r="C4" s="5" t="s">
        <v>16</v>
      </c>
      <c r="D4" s="2" t="s">
        <v>10</v>
      </c>
      <c r="E4" s="2">
        <v>1</v>
      </c>
      <c r="F4" s="3">
        <v>9.9000000000000004</v>
      </c>
      <c r="G4" s="3">
        <f t="shared" si="0"/>
        <v>9.9000000000000004</v>
      </c>
      <c r="H4" s="4" t="s">
        <v>17</v>
      </c>
    </row>
    <row r="5" s="0" customFormat="1">
      <c r="A5" s="2">
        <v>4</v>
      </c>
      <c r="B5" s="2" t="s">
        <v>18</v>
      </c>
      <c r="C5" s="2" t="s">
        <v>19</v>
      </c>
      <c r="D5" s="2" t="s">
        <v>10</v>
      </c>
      <c r="E5" s="2">
        <v>2</v>
      </c>
      <c r="F5" s="3">
        <v>10.9</v>
      </c>
      <c r="G5" s="3">
        <f t="shared" si="0"/>
        <v>21.800000000000001</v>
      </c>
      <c r="H5" s="4" t="s">
        <v>20</v>
      </c>
    </row>
    <row r="6" s="0" customFormat="1">
      <c r="A6" s="2">
        <v>5</v>
      </c>
      <c r="B6" s="2" t="s">
        <v>21</v>
      </c>
      <c r="C6" s="2" t="s">
        <v>22</v>
      </c>
      <c r="D6" s="2" t="s">
        <v>10</v>
      </c>
      <c r="E6" s="2">
        <v>2</v>
      </c>
      <c r="F6" s="3">
        <v>5.9000000000000004</v>
      </c>
      <c r="G6" s="3">
        <f t="shared" si="0"/>
        <v>11.800000000000001</v>
      </c>
      <c r="H6" s="4" t="s">
        <v>23</v>
      </c>
    </row>
    <row r="7" s="0" customFormat="1">
      <c r="A7" s="2">
        <v>6</v>
      </c>
      <c r="B7" s="2" t="s">
        <v>24</v>
      </c>
      <c r="C7" s="2" t="s">
        <v>25</v>
      </c>
      <c r="D7" s="2" t="s">
        <v>10</v>
      </c>
      <c r="E7" s="2">
        <v>2</v>
      </c>
      <c r="F7" s="3">
        <v>2.8999999999999999</v>
      </c>
      <c r="G7" s="3">
        <f t="shared" si="0"/>
        <v>5.7999999999999998</v>
      </c>
      <c r="H7" s="4" t="s">
        <v>26</v>
      </c>
    </row>
    <row r="8" s="0" customFormat="1">
      <c r="A8" s="2">
        <v>7</v>
      </c>
      <c r="B8" s="2" t="s">
        <v>27</v>
      </c>
      <c r="C8" s="5" t="s">
        <v>28</v>
      </c>
      <c r="D8" s="2" t="s">
        <v>29</v>
      </c>
      <c r="E8" s="2">
        <v>10</v>
      </c>
      <c r="F8" s="6">
        <v>0.26700000000000002</v>
      </c>
      <c r="G8" s="3">
        <f t="shared" ref="G8:G10" si="1">IF(F8="","",E8*F8)</f>
        <v>2.6699999999999999</v>
      </c>
      <c r="H8" s="4" t="s">
        <v>30</v>
      </c>
    </row>
    <row r="9" s="0" customFormat="1">
      <c r="A9" s="2">
        <v>8</v>
      </c>
      <c r="B9" s="5" t="s">
        <v>31</v>
      </c>
      <c r="C9" s="5" t="s">
        <v>32</v>
      </c>
      <c r="D9" s="5" t="s">
        <v>29</v>
      </c>
      <c r="E9" s="2">
        <v>5</v>
      </c>
      <c r="F9" s="3">
        <v>1.04</v>
      </c>
      <c r="G9" s="3">
        <f t="shared" si="1"/>
        <v>5.2000000000000002</v>
      </c>
      <c r="H9" s="7" t="s">
        <v>33</v>
      </c>
      <c r="I9"/>
    </row>
    <row r="10" s="0" customFormat="1">
      <c r="A10" s="2">
        <v>9</v>
      </c>
      <c r="B10" s="2" t="s">
        <v>34</v>
      </c>
      <c r="C10" s="2" t="s">
        <v>35</v>
      </c>
      <c r="D10" s="2" t="s">
        <v>29</v>
      </c>
      <c r="E10" s="2">
        <v>30</v>
      </c>
      <c r="F10" s="6">
        <v>3.4000000000000002e-02</v>
      </c>
      <c r="G10" s="3">
        <f t="shared" si="1"/>
        <v>1.02</v>
      </c>
      <c r="H10" s="7" t="s">
        <v>36</v>
      </c>
      <c r="I10"/>
    </row>
    <row r="11" s="0" customFormat="1" ht="14.25">
      <c r="A11"/>
      <c r="F11"/>
      <c r="G11"/>
      <c r="H11" s="8"/>
      <c r="I11"/>
    </row>
    <row r="12">
      <c r="B12" s="9" t="s">
        <v>6</v>
      </c>
      <c r="G12" s="10">
        <f>SUM(G2:G10)</f>
        <v>110.98999999999999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2"/>
    <col customWidth="1" min="2" max="2" width="28"/>
    <col customWidth="1" min="3" max="3" width="34"/>
    <col customWidth="1" min="4" max="4" width="70"/>
  </cols>
  <sheetData>
    <row r="1">
      <c r="A1" s="11" t="s">
        <v>37</v>
      </c>
      <c r="B1" s="11" t="s">
        <v>38</v>
      </c>
      <c r="C1" s="11" t="s">
        <v>39</v>
      </c>
      <c r="D1" s="11" t="s">
        <v>40</v>
      </c>
    </row>
    <row r="2">
      <c r="A2" t="s">
        <v>41</v>
      </c>
      <c r="B2" t="s">
        <v>42</v>
      </c>
      <c r="C2" t="s">
        <v>43</v>
      </c>
      <c r="D2" t="s">
        <v>44</v>
      </c>
    </row>
    <row r="3">
      <c r="A3" t="s">
        <v>41</v>
      </c>
      <c r="B3" t="s">
        <v>45</v>
      </c>
      <c r="C3" t="s">
        <v>46</v>
      </c>
      <c r="D3" t="s">
        <v>47</v>
      </c>
    </row>
    <row r="4">
      <c r="A4" t="s">
        <v>41</v>
      </c>
      <c r="B4" t="s">
        <v>48</v>
      </c>
      <c r="C4" t="s">
        <v>49</v>
      </c>
      <c r="D4" t="s">
        <v>50</v>
      </c>
    </row>
    <row r="5">
      <c r="A5" t="s">
        <v>41</v>
      </c>
      <c r="B5" t="s">
        <v>51</v>
      </c>
      <c r="C5" t="s">
        <v>51</v>
      </c>
    </row>
    <row r="6">
      <c r="A6" t="s">
        <v>41</v>
      </c>
      <c r="B6" t="s">
        <v>52</v>
      </c>
      <c r="C6" t="s">
        <v>53</v>
      </c>
      <c r="D6" t="s">
        <v>54</v>
      </c>
    </row>
    <row r="7">
      <c r="A7" t="s">
        <v>55</v>
      </c>
      <c r="B7" t="s">
        <v>56</v>
      </c>
      <c r="C7" t="s">
        <v>57</v>
      </c>
      <c r="D7" t="s">
        <v>58</v>
      </c>
    </row>
    <row r="8">
      <c r="A8" t="s">
        <v>55</v>
      </c>
      <c r="B8" t="s">
        <v>59</v>
      </c>
      <c r="C8" t="s">
        <v>60</v>
      </c>
      <c r="D8" t="s">
        <v>58</v>
      </c>
    </row>
    <row r="9">
      <c r="A9" t="s">
        <v>55</v>
      </c>
      <c r="B9" t="s">
        <v>61</v>
      </c>
      <c r="C9" t="s">
        <v>62</v>
      </c>
      <c r="D9" t="s">
        <v>63</v>
      </c>
    </row>
    <row r="10">
      <c r="A10" t="s">
        <v>55</v>
      </c>
      <c r="B10" t="s">
        <v>64</v>
      </c>
      <c r="C10" t="s">
        <v>65</v>
      </c>
      <c r="D10" t="s">
        <v>66</v>
      </c>
    </row>
    <row r="11">
      <c r="A11" t="s">
        <v>67</v>
      </c>
      <c r="B11" t="s">
        <v>68</v>
      </c>
      <c r="C11" t="s">
        <v>69</v>
      </c>
    </row>
    <row r="12">
      <c r="A12" t="s">
        <v>67</v>
      </c>
      <c r="B12" t="s">
        <v>70</v>
      </c>
      <c r="C12" t="s">
        <v>71</v>
      </c>
      <c r="D12" t="s">
        <v>72</v>
      </c>
    </row>
    <row r="13">
      <c r="A13" t="s">
        <v>73</v>
      </c>
      <c r="B13" t="s">
        <v>74</v>
      </c>
      <c r="C13" t="s">
        <v>75</v>
      </c>
      <c r="D13" t="s">
        <v>76</v>
      </c>
    </row>
    <row r="14">
      <c r="A14" t="s">
        <v>77</v>
      </c>
      <c r="B14" t="s">
        <v>78</v>
      </c>
      <c r="C14" t="s">
        <v>79</v>
      </c>
      <c r="D14" t="s">
        <v>80</v>
      </c>
    </row>
    <row r="15">
      <c r="A15" t="s">
        <v>81</v>
      </c>
      <c r="B15" t="s">
        <v>82</v>
      </c>
      <c r="C15" t="s">
        <v>83</v>
      </c>
      <c r="D15" t="s">
        <v>84</v>
      </c>
    </row>
    <row r="16">
      <c r="A16" t="s">
        <v>85</v>
      </c>
      <c r="B16" t="s">
        <v>86</v>
      </c>
      <c r="C16" t="s">
        <v>87</v>
      </c>
      <c r="D16" t="s">
        <v>84</v>
      </c>
    </row>
    <row r="17">
      <c r="A17" t="s">
        <v>85</v>
      </c>
      <c r="B17" t="s">
        <v>88</v>
      </c>
      <c r="C17" t="s">
        <v>89</v>
      </c>
      <c r="D17" t="s">
        <v>84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8"/>
    <col customWidth="1" min="2" max="2" width="100"/>
    <col customWidth="1" min="3" max="3" width="34"/>
  </cols>
  <sheetData>
    <row r="1">
      <c r="A1" s="11" t="s">
        <v>90</v>
      </c>
      <c r="B1" s="11" t="s">
        <v>91</v>
      </c>
      <c r="C1" s="11" t="s">
        <v>68</v>
      </c>
    </row>
    <row r="2">
      <c r="A2" t="s">
        <v>92</v>
      </c>
      <c r="B2" t="s">
        <v>93</v>
      </c>
      <c r="C2" t="s">
        <v>94</v>
      </c>
    </row>
    <row r="3">
      <c r="A3" t="s">
        <v>95</v>
      </c>
      <c r="B3" t="s">
        <v>96</v>
      </c>
      <c r="C3" t="s">
        <v>10</v>
      </c>
    </row>
    <row r="4">
      <c r="A4" t="s">
        <v>97</v>
      </c>
      <c r="B4" t="s">
        <v>98</v>
      </c>
      <c r="C4" t="s">
        <v>10</v>
      </c>
    </row>
    <row r="5">
      <c r="A5" t="s">
        <v>99</v>
      </c>
      <c r="B5" t="s">
        <v>100</v>
      </c>
      <c r="C5" t="s">
        <v>10</v>
      </c>
    </row>
    <row r="6">
      <c r="A6" t="s">
        <v>101</v>
      </c>
      <c r="B6" t="s">
        <v>102</v>
      </c>
      <c r="C6" t="s">
        <v>103</v>
      </c>
    </row>
    <row r="7">
      <c r="A7" t="s">
        <v>104</v>
      </c>
      <c r="B7" t="s">
        <v>105</v>
      </c>
      <c r="C7" t="s">
        <v>106</v>
      </c>
    </row>
    <row r="8">
      <c r="A8" t="s">
        <v>107</v>
      </c>
      <c r="B8" t="s">
        <v>108</v>
      </c>
      <c r="C8" t="s">
        <v>109</v>
      </c>
    </row>
    <row r="9">
      <c r="A9" t="s">
        <v>110</v>
      </c>
      <c r="B9" t="s">
        <v>111</v>
      </c>
      <c r="C9" t="s">
        <v>112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2026-10-07T16:33:59Z</dcterms:created>
  <dcterms:modified xsi:type="dcterms:W3CDTF">2026-10-07T16:47:05Z</dcterms:modified>
</cp:coreProperties>
</file>